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Excel\"/>
    </mc:Choice>
  </mc:AlternateContent>
  <xr:revisionPtr revIDLastSave="0" documentId="8_{9739F475-7C83-4F9E-93FE-D23E739F13A1}" xr6:coauthVersionLast="47" xr6:coauthVersionMax="47" xr10:uidLastSave="{00000000-0000-0000-0000-000000000000}"/>
  <bookViews>
    <workbookView xWindow="-108" yWindow="-108" windowWidth="23256" windowHeight="13176" xr2:uid="{59381E45-341E-4607-9D18-BA1BA5FFA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</calcChain>
</file>

<file path=xl/sharedStrings.xml><?xml version="1.0" encoding="utf-8"?>
<sst xmlns="http://schemas.openxmlformats.org/spreadsheetml/2006/main" count="37" uniqueCount="27">
  <si>
    <t>Employee</t>
  </si>
  <si>
    <t>Region</t>
  </si>
  <si>
    <t>Department</t>
  </si>
  <si>
    <t>Sales</t>
  </si>
  <si>
    <t>Experience</t>
  </si>
  <si>
    <t>Rahul</t>
  </si>
  <si>
    <t>Amit</t>
  </si>
  <si>
    <t>Priya</t>
  </si>
  <si>
    <t>Sneha</t>
  </si>
  <si>
    <t>Rohit</t>
  </si>
  <si>
    <t xml:space="preserve">Neha </t>
  </si>
  <si>
    <t>Karan</t>
  </si>
  <si>
    <t>Pooja</t>
  </si>
  <si>
    <t>Pune</t>
  </si>
  <si>
    <t>Mumbai</t>
  </si>
  <si>
    <t xml:space="preserve">Nashik </t>
  </si>
  <si>
    <t>Delhi</t>
  </si>
  <si>
    <t>Electronics</t>
  </si>
  <si>
    <t>Furniture</t>
  </si>
  <si>
    <t>Total sales from Pune.</t>
  </si>
  <si>
    <t>Number of employees from Pune.</t>
  </si>
  <si>
    <t>Total sales from Electronics.</t>
  </si>
  <si>
    <t>Number of employees with sales greater than ₹50,000.</t>
  </si>
  <si>
    <t>Total Electronics sales from Pune.</t>
  </si>
  <si>
    <t>Number of Electronics employees from Pune.</t>
  </si>
  <si>
    <t>Total sales from Pune where sales are greater than ₹40,000.</t>
  </si>
  <si>
    <t>Number of employees from Pune with experience greater than 2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</si>
</sst>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B43E-4D11-493C-8E6C-B7F7C1FBD4A9}">
  <dimension ref="A1:E19"/>
  <sheetViews>
    <sheetView tabSelected="1" zoomScale="107" zoomScaleNormal="265" workbookViewId="0">
      <selection activeCell="B19" sqref="B19"/>
    </sheetView>
  </sheetViews>
  <sheetFormatPr defaultRowHeight="14.4" x14ac:dyDescent="0.3"/>
  <cols>
    <col min="1" max="1" width="57.77734375" bestFit="1" customWidth="1"/>
    <col min="3" max="3" width="11" bestFit="1" customWidth="1"/>
    <col min="5" max="5" width="10.21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13</v>
      </c>
      <c r="C2" t="s">
        <v>17</v>
      </c>
      <c r="D2">
        <v>60000</v>
      </c>
      <c r="E2">
        <v>3</v>
      </c>
    </row>
    <row r="3" spans="1:5" x14ac:dyDescent="0.3">
      <c r="A3" t="s">
        <v>6</v>
      </c>
      <c r="B3" t="s">
        <v>14</v>
      </c>
      <c r="C3" t="s">
        <v>17</v>
      </c>
      <c r="D3">
        <v>40000</v>
      </c>
      <c r="E3">
        <v>2</v>
      </c>
    </row>
    <row r="4" spans="1:5" x14ac:dyDescent="0.3">
      <c r="A4" t="s">
        <v>7</v>
      </c>
      <c r="B4" t="s">
        <v>13</v>
      </c>
      <c r="C4" t="s">
        <v>18</v>
      </c>
      <c r="D4">
        <v>75000</v>
      </c>
      <c r="E4">
        <v>5</v>
      </c>
    </row>
    <row r="5" spans="1:5" x14ac:dyDescent="0.3">
      <c r="A5" t="s">
        <v>8</v>
      </c>
      <c r="B5" t="s">
        <v>13</v>
      </c>
      <c r="C5" t="s">
        <v>17</v>
      </c>
      <c r="D5">
        <v>20000</v>
      </c>
      <c r="E5">
        <v>1</v>
      </c>
    </row>
    <row r="6" spans="1:5" x14ac:dyDescent="0.3">
      <c r="A6" t="s">
        <v>9</v>
      </c>
      <c r="B6" t="s">
        <v>15</v>
      </c>
      <c r="C6" t="s">
        <v>18</v>
      </c>
      <c r="D6">
        <v>50000</v>
      </c>
      <c r="E6">
        <v>4</v>
      </c>
    </row>
    <row r="7" spans="1:5" x14ac:dyDescent="0.3">
      <c r="A7" t="s">
        <v>10</v>
      </c>
      <c r="B7" t="s">
        <v>14</v>
      </c>
      <c r="C7" t="s">
        <v>17</v>
      </c>
      <c r="D7">
        <v>65000</v>
      </c>
      <c r="E7">
        <v>3</v>
      </c>
    </row>
    <row r="8" spans="1:5" x14ac:dyDescent="0.3">
      <c r="A8" t="s">
        <v>11</v>
      </c>
      <c r="B8" t="s">
        <v>13</v>
      </c>
      <c r="C8" t="s">
        <v>18</v>
      </c>
      <c r="D8">
        <v>45000</v>
      </c>
      <c r="E8">
        <v>2</v>
      </c>
    </row>
    <row r="9" spans="1:5" x14ac:dyDescent="0.3">
      <c r="A9" t="s">
        <v>12</v>
      </c>
      <c r="B9" t="s">
        <v>16</v>
      </c>
      <c r="C9" t="s">
        <v>17</v>
      </c>
      <c r="D9">
        <v>80000</v>
      </c>
      <c r="E9">
        <v>6</v>
      </c>
    </row>
    <row r="12" spans="1:5" x14ac:dyDescent="0.3">
      <c r="A12" t="s">
        <v>19</v>
      </c>
      <c r="B12">
        <f>SUMIF(B2:B9,"Pune",D2:D9)</f>
        <v>200000</v>
      </c>
    </row>
    <row r="13" spans="1:5" x14ac:dyDescent="0.3">
      <c r="A13" t="s">
        <v>20</v>
      </c>
      <c r="B13">
        <f>COUNTIF(B2:B9,"Pune")</f>
        <v>4</v>
      </c>
    </row>
    <row r="14" spans="1:5" x14ac:dyDescent="0.3">
      <c r="A14" t="s">
        <v>21</v>
      </c>
      <c r="B14">
        <f>SUMIF(C2:C9,"Electronics",D2:D9)</f>
        <v>265000</v>
      </c>
    </row>
    <row r="15" spans="1:5" x14ac:dyDescent="0.3">
      <c r="A15" t="s">
        <v>22</v>
      </c>
      <c r="B15">
        <f>COUNTIF(D2:D9,"&gt;50000")</f>
        <v>4</v>
      </c>
    </row>
    <row r="16" spans="1:5" x14ac:dyDescent="0.3">
      <c r="A16" t="s">
        <v>23</v>
      </c>
      <c r="B16">
        <f>SUMIFS(D2:D9,B2:B9,"Pune",C2:C9,"Electronics")</f>
        <v>80000</v>
      </c>
    </row>
    <row r="17" spans="1:2" x14ac:dyDescent="0.3">
      <c r="A17" t="s">
        <v>24</v>
      </c>
      <c r="B17">
        <f>COUNTIFS(B2:B9,"Pune",C2:C9,"Electronics")</f>
        <v>2</v>
      </c>
    </row>
    <row r="18" spans="1:2" x14ac:dyDescent="0.3">
      <c r="A18" t="s">
        <v>25</v>
      </c>
      <c r="B18">
        <f>SUMIFS(D2:D9,B2:B9,"Pune",D2:D9,"&gt;40000")</f>
        <v>180000</v>
      </c>
    </row>
    <row r="19" spans="1:2" x14ac:dyDescent="0.3">
      <c r="A19" t="s">
        <v>26</v>
      </c>
      <c r="B19">
        <f>COUNTIFS(B2:B9,"Pune",E2:E9,"&gt;2")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yashujgare199@gmail.com</dc:creator>
  <cp:lastModifiedBy>yashujgare199@gmail.com</cp:lastModifiedBy>
  <dcterms:created xsi:type="dcterms:W3CDTF">2026-10-02T13:37:18Z</dcterms:created>
  <dcterms:modified xsi:type="dcterms:W3CDTF">2026-10-02T14:00:46Z</dcterms:modified>
</cp:coreProperties>
</file>